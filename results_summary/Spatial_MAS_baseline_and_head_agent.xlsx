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TA" sheetId="1" r:id="rId5"/>
    <sheet state="visible" name="Main architecture " sheetId="2" r:id="rId6"/>
    <sheet state="visible" name="Head-Agent Selection" sheetId="3" r:id="rId7"/>
  </sheets>
  <definedNames/>
  <calcPr/>
</workbook>
</file>

<file path=xl/sharedStrings.xml><?xml version="1.0" encoding="utf-8"?>
<sst xmlns="http://schemas.openxmlformats.org/spreadsheetml/2006/main" count="108" uniqueCount="47">
  <si>
    <t>Methods</t>
  </si>
  <si>
    <t>Dataset</t>
  </si>
  <si>
    <t>3DRSBench</t>
  </si>
  <si>
    <t>CV-Bench</t>
  </si>
  <si>
    <t>GQA</t>
  </si>
  <si>
    <t>Open-Sourced Generalist</t>
  </si>
  <si>
    <t>Llava-4D</t>
  </si>
  <si>
    <t>Qwen-3.0-VL 4B</t>
  </si>
  <si>
    <t xml:space="preserve">Sa2VA </t>
  </si>
  <si>
    <t>Proprietary</t>
  </si>
  <si>
    <t>Claude 4.5 V Sonnet</t>
  </si>
  <si>
    <t>GPT-4o</t>
  </si>
  <si>
    <t>Gemini Robotics-ER</t>
  </si>
  <si>
    <t>without prompt</t>
  </si>
  <si>
    <t>with prompt</t>
  </si>
  <si>
    <t>Categories</t>
  </si>
  <si>
    <t>Overall</t>
  </si>
  <si>
    <t>Location above</t>
  </si>
  <si>
    <t>Height higher</t>
  </si>
  <si>
    <t>Location closer tocamera</t>
  </si>
  <si>
    <t>Multi object closer to</t>
  </si>
  <si>
    <t>Orientation on the left</t>
  </si>
  <si>
    <t>Multi object facing</t>
  </si>
  <si>
    <t>Multi object same direction</t>
  </si>
  <si>
    <t>Orientation in front of</t>
  </si>
  <si>
    <t>Multi object viewpoint towards object</t>
  </si>
  <si>
    <t>Orientation viewpoint</t>
  </si>
  <si>
    <t>Location next to</t>
  </si>
  <si>
    <t>Multi object parallel</t>
  </si>
  <si>
    <t>Llava-4D + prompt</t>
  </si>
  <si>
    <t>Qwen-3.0-VL 4B + prompt</t>
  </si>
  <si>
    <t>Sa2VA  + prompt</t>
  </si>
  <si>
    <t>Claude 4.5 V Sonnet + prompt</t>
  </si>
  <si>
    <t>GPT-4o + prompt</t>
  </si>
  <si>
    <t>Gemini Robotics-ER + prompt</t>
  </si>
  <si>
    <t xml:space="preserve">Count </t>
  </si>
  <si>
    <t>Relation</t>
  </si>
  <si>
    <t>Distance</t>
  </si>
  <si>
    <t>Depth</t>
  </si>
  <si>
    <t>complexity</t>
  </si>
  <si>
    <t>routing</t>
  </si>
  <si>
    <t>strategy</t>
  </si>
  <si>
    <t>task_decomposition</t>
  </si>
  <si>
    <t>trust_logging</t>
  </si>
  <si>
    <t>Gpt-5.2</t>
  </si>
  <si>
    <t>Claude Opus 4.5</t>
  </si>
  <si>
    <t>GLM_5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</si>
</sst>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Times New Roman"/>
    </font>
    <font/>
    <font>
      <b/>
      <i/>
      <color theme="1"/>
      <name val="Times New Roman"/>
    </font>
    <font>
      <b/>
      <color theme="1"/>
      <name val="Times New Roman"/>
    </font>
    <font>
      <color rgb="FF000000"/>
      <name val="Times New Roman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1" fillId="0" fontId="1" numFmtId="0" xfId="0" applyAlignment="1" applyBorder="1" applyFont="1">
      <alignment horizontal="center" readingOrder="0"/>
    </xf>
    <xf borderId="6" fillId="0" fontId="3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Border="1" applyFont="1"/>
    <xf borderId="9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0" fillId="0" fontId="1" numFmtId="0" xfId="0" applyBorder="1" applyFont="1"/>
    <xf borderId="0" fillId="0" fontId="4" numFmtId="0" xfId="0" applyAlignment="1" applyFont="1">
      <alignment readingOrder="0"/>
    </xf>
    <xf borderId="0" fillId="2" fontId="5" numFmtId="0" xfId="0" applyFill="1" applyFont="1"/>
    <xf borderId="10" fillId="2" fontId="5" numFmtId="0" xfId="0" applyBorder="1" applyFont="1"/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2" fillId="2" fontId="5" numFmtId="0" xfId="0" applyBorder="1" applyFont="1"/>
    <xf borderId="13" fillId="2" fontId="5" numFmtId="0" xfId="0" applyBorder="1" applyFont="1"/>
    <xf borderId="1" fillId="0" fontId="4" numFmtId="0" xfId="0" applyAlignment="1" applyBorder="1" applyFont="1">
      <alignment horizontal="center" readingOrder="0"/>
    </xf>
    <xf borderId="10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0" fillId="0" fontId="4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6" fillId="0" fontId="1" numFmtId="0" xfId="0" applyAlignment="1" applyBorder="1" applyFon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4" fillId="0" fontId="2" numFmtId="0" xfId="0" applyBorder="1" applyFont="1"/>
    <xf borderId="4" fillId="0" fontId="1" numFmtId="0" xfId="0" applyBorder="1" applyFont="1"/>
    <xf borderId="9" fillId="3" fontId="1" numFmtId="0" xfId="0" applyAlignment="1" applyBorder="1" applyFill="1" applyFont="1">
      <alignment readingOrder="0"/>
    </xf>
    <xf borderId="0" fillId="3" fontId="1" numFmtId="0" xfId="0" applyAlignment="1" applyFont="1">
      <alignment readingOrder="0"/>
    </xf>
    <xf borderId="10" fillId="3" fontId="1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10" fillId="2" fontId="4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0" fillId="2" fontId="1" numFmtId="0" xfId="0" applyAlignment="1" applyFont="1">
      <alignment readingOrder="0"/>
    </xf>
    <xf borderId="10" fillId="2" fontId="1" numFmtId="0" xfId="0" applyAlignment="1" applyBorder="1" applyFont="1">
      <alignment readingOrder="0"/>
    </xf>
    <xf borderId="12" fillId="2" fontId="1" numFmtId="0" xfId="0" applyAlignment="1" applyBorder="1" applyFont="1">
      <alignment readingOrder="0"/>
    </xf>
    <xf borderId="13" fillId="2" fontId="1" numFmtId="0" xfId="0" applyAlignment="1" applyBorder="1" applyFont="1">
      <alignment readingOrder="0"/>
    </xf>
    <xf borderId="13" fillId="0" fontId="1" numFmtId="0" xfId="0" applyBorder="1" applyFont="1"/>
    <xf borderId="4" fillId="0" fontId="4" numFmtId="0" xfId="0" applyBorder="1" applyFont="1"/>
    <xf borderId="11" fillId="3" fontId="1" numFmtId="0" xfId="0" applyAlignment="1" applyBorder="1" applyFont="1">
      <alignment readingOrder="0"/>
    </xf>
    <xf borderId="12" fillId="3" fontId="1" numFmtId="0" xfId="0" applyAlignment="1" applyBorder="1" applyFont="1">
      <alignment readingOrder="0"/>
    </xf>
    <xf borderId="13" fillId="3" fontId="4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5" numFmtId="0" xfId="0" applyAlignment="1" applyFont="1">
      <alignment horizontal="right" readingOrder="0" shrinkToFit="0" wrapText="0"/>
    </xf>
    <xf borderId="10" fillId="0" fontId="5" numFmtId="0" xfId="0" applyAlignment="1" applyBorder="1" applyFont="1">
      <alignment horizontal="right" readingOrder="0" shrinkToFit="0" wrapText="0"/>
    </xf>
    <xf borderId="13" fillId="3" fontId="1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13" fillId="2" fontId="1" numFmtId="0" xfId="0" applyAlignment="1" applyBorder="1" applyFont="1">
      <alignment readingOrder="0"/>
    </xf>
    <xf borderId="0" fillId="4" fontId="6" numFmtId="0" xfId="0" applyFill="1" applyFont="1"/>
    <xf borderId="15" fillId="0" fontId="4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0"/>
    <col customWidth="1" min="4" max="6" width="18.38"/>
    <col customWidth="1" min="8" max="8" width="30.13"/>
    <col customWidth="1" min="9" max="9" width="15.0"/>
    <col customWidth="1" min="10" max="20" width="16.38"/>
  </cols>
  <sheetData>
    <row r="5">
      <c r="C5" s="1" t="s">
        <v>0</v>
      </c>
      <c r="D5" s="2" t="s">
        <v>1</v>
      </c>
      <c r="E5" s="3"/>
      <c r="F5" s="4"/>
    </row>
    <row r="6">
      <c r="C6" s="5"/>
      <c r="D6" s="6" t="s">
        <v>2</v>
      </c>
      <c r="E6" s="6" t="s">
        <v>3</v>
      </c>
      <c r="F6" s="6" t="s">
        <v>4</v>
      </c>
    </row>
    <row r="7">
      <c r="C7" s="7" t="s">
        <v>5</v>
      </c>
      <c r="D7" s="8"/>
      <c r="E7" s="8"/>
      <c r="F7" s="9"/>
    </row>
    <row r="8">
      <c r="C8" s="10" t="s">
        <v>6</v>
      </c>
      <c r="D8" s="11">
        <v>31.1</v>
      </c>
      <c r="E8" s="11">
        <v>28.4</v>
      </c>
      <c r="F8" s="12"/>
    </row>
    <row r="9">
      <c r="C9" s="10" t="s">
        <v>7</v>
      </c>
      <c r="D9" s="11">
        <v>60.5</v>
      </c>
      <c r="E9" s="11">
        <v>83.8</v>
      </c>
      <c r="F9" s="12"/>
    </row>
    <row r="10">
      <c r="C10" s="10" t="s">
        <v>8</v>
      </c>
      <c r="D10" s="11">
        <v>22.4</v>
      </c>
      <c r="E10" s="11">
        <v>42.8</v>
      </c>
      <c r="F10" s="12"/>
    </row>
    <row r="11">
      <c r="C11" s="7" t="s">
        <v>9</v>
      </c>
      <c r="D11" s="8"/>
      <c r="E11" s="8"/>
      <c r="F11" s="9"/>
    </row>
    <row r="12">
      <c r="C12" s="10" t="s">
        <v>10</v>
      </c>
      <c r="D12" s="13">
        <v>67.0</v>
      </c>
      <c r="E12" s="14"/>
      <c r="F12" s="15"/>
    </row>
    <row r="13">
      <c r="C13" s="10" t="s">
        <v>11</v>
      </c>
      <c r="D13" s="11">
        <v>58.8</v>
      </c>
      <c r="E13" s="14"/>
      <c r="F13" s="15"/>
    </row>
    <row r="14">
      <c r="C14" s="16" t="s">
        <v>12</v>
      </c>
      <c r="D14" s="17">
        <v>42.9</v>
      </c>
      <c r="E14" s="18"/>
      <c r="F14" s="19"/>
    </row>
    <row r="18">
      <c r="C18" s="2" t="s">
        <v>2</v>
      </c>
      <c r="D18" s="3"/>
      <c r="E18" s="4"/>
    </row>
    <row r="19">
      <c r="C19" s="20" t="s">
        <v>0</v>
      </c>
      <c r="D19" s="20" t="s">
        <v>13</v>
      </c>
      <c r="E19" s="20" t="s">
        <v>14</v>
      </c>
    </row>
    <row r="20">
      <c r="C20" s="7" t="s">
        <v>5</v>
      </c>
      <c r="D20" s="8"/>
      <c r="E20" s="9"/>
    </row>
    <row r="21">
      <c r="C21" s="10" t="s">
        <v>6</v>
      </c>
      <c r="D21" s="11">
        <v>31.1</v>
      </c>
      <c r="E21" s="21">
        <v>49.6</v>
      </c>
    </row>
    <row r="22">
      <c r="C22" s="10" t="s">
        <v>7</v>
      </c>
      <c r="D22" s="22">
        <v>60.5</v>
      </c>
      <c r="E22" s="21">
        <v>60.6</v>
      </c>
    </row>
    <row r="23">
      <c r="C23" s="10" t="s">
        <v>8</v>
      </c>
      <c r="D23" s="11">
        <v>22.4</v>
      </c>
      <c r="E23" s="21">
        <v>52.1</v>
      </c>
    </row>
    <row r="24">
      <c r="C24" s="7" t="s">
        <v>9</v>
      </c>
      <c r="D24" s="8"/>
      <c r="E24" s="9"/>
    </row>
    <row r="25">
      <c r="C25" s="10" t="s">
        <v>10</v>
      </c>
      <c r="D25" s="13">
        <v>67.0</v>
      </c>
      <c r="E25" s="23">
        <v>66.6</v>
      </c>
    </row>
    <row r="26">
      <c r="C26" s="10" t="s">
        <v>11</v>
      </c>
      <c r="D26" s="11">
        <v>58.8</v>
      </c>
      <c r="E26" s="21">
        <v>41.2</v>
      </c>
    </row>
    <row r="27">
      <c r="C27" s="16" t="s">
        <v>12</v>
      </c>
      <c r="D27" s="17">
        <v>42.9</v>
      </c>
      <c r="E27" s="24">
        <v>64.2</v>
      </c>
    </row>
    <row r="30">
      <c r="H30" s="25" t="s">
        <v>2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7"/>
    </row>
    <row r="31">
      <c r="C31" s="2" t="s">
        <v>3</v>
      </c>
      <c r="D31" s="3"/>
      <c r="E31" s="4"/>
      <c r="H31" s="1" t="s">
        <v>0</v>
      </c>
      <c r="I31" s="2" t="s">
        <v>15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4"/>
      <c r="U31" s="1" t="s">
        <v>16</v>
      </c>
    </row>
    <row r="32" ht="28.5" customHeight="1">
      <c r="C32" s="20" t="s">
        <v>0</v>
      </c>
      <c r="D32" s="20" t="s">
        <v>13</v>
      </c>
      <c r="E32" s="20" t="s">
        <v>14</v>
      </c>
      <c r="H32" s="5"/>
      <c r="I32" s="28" t="s">
        <v>17</v>
      </c>
      <c r="J32" s="28" t="s">
        <v>18</v>
      </c>
      <c r="K32" s="28" t="s">
        <v>19</v>
      </c>
      <c r="L32" s="28" t="s">
        <v>20</v>
      </c>
      <c r="M32" s="28" t="s">
        <v>21</v>
      </c>
      <c r="N32" s="28" t="s">
        <v>22</v>
      </c>
      <c r="O32" s="28" t="s">
        <v>23</v>
      </c>
      <c r="P32" s="28" t="s">
        <v>24</v>
      </c>
      <c r="Q32" s="28" t="s">
        <v>25</v>
      </c>
      <c r="R32" s="28" t="s">
        <v>26</v>
      </c>
      <c r="S32" s="28" t="s">
        <v>27</v>
      </c>
      <c r="T32" s="28" t="s">
        <v>28</v>
      </c>
      <c r="U32" s="29"/>
    </row>
    <row r="33">
      <c r="C33" s="7" t="s">
        <v>5</v>
      </c>
      <c r="D33" s="8"/>
      <c r="E33" s="9"/>
      <c r="H33" s="7" t="s">
        <v>5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9"/>
      <c r="U33" s="5"/>
    </row>
    <row r="34">
      <c r="C34" s="10" t="s">
        <v>6</v>
      </c>
      <c r="D34" s="11">
        <v>28.4</v>
      </c>
      <c r="E34" s="21">
        <v>61.9</v>
      </c>
      <c r="H34" s="10" t="s">
        <v>6</v>
      </c>
      <c r="I34" s="11">
        <v>56.79</v>
      </c>
      <c r="J34" s="11">
        <v>44.35</v>
      </c>
      <c r="K34" s="11">
        <v>9.88</v>
      </c>
      <c r="L34" s="11">
        <v>9.71</v>
      </c>
      <c r="M34" s="11">
        <v>7.16</v>
      </c>
      <c r="N34" s="11">
        <v>10.4</v>
      </c>
      <c r="O34" s="11">
        <v>52.62</v>
      </c>
      <c r="P34" s="11">
        <v>45.06</v>
      </c>
      <c r="Q34" s="11">
        <v>17.49</v>
      </c>
      <c r="R34" s="11">
        <v>30.03</v>
      </c>
      <c r="S34" s="11">
        <v>53.1</v>
      </c>
      <c r="T34" s="21">
        <v>19.17</v>
      </c>
      <c r="U34" s="30">
        <f t="shared" ref="U34:U39" si="1">ROUND(AVERAGE(I34:T34),2)</f>
        <v>29.65</v>
      </c>
    </row>
    <row r="35">
      <c r="C35" s="10" t="s">
        <v>7</v>
      </c>
      <c r="D35" s="11">
        <v>83.8</v>
      </c>
      <c r="E35" s="21">
        <v>81.3</v>
      </c>
      <c r="H35" s="10" t="s">
        <v>7</v>
      </c>
      <c r="I35" s="11">
        <v>67.92</v>
      </c>
      <c r="J35" s="11">
        <v>62.61</v>
      </c>
      <c r="K35" s="11">
        <v>81.86</v>
      </c>
      <c r="L35" s="11">
        <v>65.14</v>
      </c>
      <c r="M35" s="11">
        <v>50.14</v>
      </c>
      <c r="N35" s="11">
        <v>67.05</v>
      </c>
      <c r="O35" s="11">
        <v>48.55</v>
      </c>
      <c r="P35" s="11">
        <v>59.3</v>
      </c>
      <c r="Q35" s="11">
        <v>30.9</v>
      </c>
      <c r="R35" s="11">
        <v>39.65</v>
      </c>
      <c r="S35" s="11">
        <v>71.68</v>
      </c>
      <c r="T35" s="21">
        <v>52.51</v>
      </c>
      <c r="U35" s="30">
        <f t="shared" si="1"/>
        <v>58.11</v>
      </c>
    </row>
    <row r="36">
      <c r="C36" s="10" t="s">
        <v>8</v>
      </c>
      <c r="D36" s="11">
        <v>42.8</v>
      </c>
      <c r="E36" s="21">
        <v>69.1</v>
      </c>
      <c r="H36" s="10" t="s">
        <v>8</v>
      </c>
      <c r="I36" s="11">
        <v>30.2</v>
      </c>
      <c r="J36" s="11">
        <v>48.84</v>
      </c>
      <c r="K36" s="11">
        <v>11.65</v>
      </c>
      <c r="L36" s="11">
        <v>29.71</v>
      </c>
      <c r="M36" s="11">
        <v>8.02</v>
      </c>
      <c r="N36" s="11">
        <v>18.79</v>
      </c>
      <c r="O36" s="11">
        <v>35.47</v>
      </c>
      <c r="P36" s="11">
        <v>22.67</v>
      </c>
      <c r="Q36" s="11">
        <v>8.45</v>
      </c>
      <c r="R36" s="11">
        <v>7.01</v>
      </c>
      <c r="S36" s="11">
        <v>7.67</v>
      </c>
      <c r="T36" s="21">
        <v>16.52</v>
      </c>
      <c r="U36" s="30">
        <f t="shared" si="1"/>
        <v>20.42</v>
      </c>
    </row>
    <row r="37">
      <c r="C37" s="7" t="s">
        <v>9</v>
      </c>
      <c r="D37" s="8"/>
      <c r="E37" s="9"/>
      <c r="H37" s="31" t="s">
        <v>29</v>
      </c>
      <c r="I37" s="32">
        <v>52.02</v>
      </c>
      <c r="J37" s="32">
        <v>46.81</v>
      </c>
      <c r="K37" s="32">
        <v>57.37</v>
      </c>
      <c r="L37" s="32">
        <v>48.57</v>
      </c>
      <c r="M37" s="32">
        <v>50.14</v>
      </c>
      <c r="N37" s="32">
        <v>55.2</v>
      </c>
      <c r="O37" s="32">
        <v>52.62</v>
      </c>
      <c r="P37" s="32">
        <v>59.3</v>
      </c>
      <c r="Q37" s="32">
        <v>30.03</v>
      </c>
      <c r="R37" s="32">
        <v>25.95</v>
      </c>
      <c r="S37" s="32">
        <v>57.82</v>
      </c>
      <c r="T37" s="33">
        <v>52.8</v>
      </c>
      <c r="U37" s="30">
        <f t="shared" si="1"/>
        <v>49.05</v>
      </c>
    </row>
    <row r="38">
      <c r="C38" s="10" t="s">
        <v>10</v>
      </c>
      <c r="D38" s="34"/>
      <c r="E38" s="35"/>
      <c r="H38" s="31" t="s">
        <v>30</v>
      </c>
      <c r="I38" s="32">
        <v>67.63</v>
      </c>
      <c r="J38" s="32">
        <v>52.51</v>
      </c>
      <c r="K38" s="36">
        <v>84.81</v>
      </c>
      <c r="L38" s="32">
        <v>68.57</v>
      </c>
      <c r="M38" s="32">
        <v>49.86</v>
      </c>
      <c r="N38" s="32">
        <v>68.5</v>
      </c>
      <c r="O38" s="32">
        <v>53.2</v>
      </c>
      <c r="P38" s="32">
        <v>63.08</v>
      </c>
      <c r="Q38" s="32">
        <v>30.32</v>
      </c>
      <c r="R38" s="32">
        <v>42.86</v>
      </c>
      <c r="S38" s="32">
        <v>67.26</v>
      </c>
      <c r="T38" s="33">
        <v>55.16</v>
      </c>
      <c r="U38" s="30">
        <f t="shared" si="1"/>
        <v>58.65</v>
      </c>
    </row>
    <row r="39">
      <c r="C39" s="10" t="s">
        <v>11</v>
      </c>
      <c r="D39" s="37"/>
      <c r="E39" s="38"/>
      <c r="H39" s="31" t="s">
        <v>31</v>
      </c>
      <c r="I39" s="32">
        <v>59.54</v>
      </c>
      <c r="J39" s="32">
        <v>49.86</v>
      </c>
      <c r="K39" s="32">
        <v>61.65</v>
      </c>
      <c r="L39" s="32">
        <v>61.14</v>
      </c>
      <c r="M39" s="32">
        <v>50.14</v>
      </c>
      <c r="N39" s="36">
        <v>67.92</v>
      </c>
      <c r="O39" s="32">
        <v>50.58</v>
      </c>
      <c r="P39" s="32">
        <v>55.23</v>
      </c>
      <c r="Q39" s="32">
        <v>20.7</v>
      </c>
      <c r="R39" s="32">
        <v>29.15</v>
      </c>
      <c r="S39" s="32">
        <v>54.57</v>
      </c>
      <c r="T39" s="33">
        <v>50.15</v>
      </c>
      <c r="U39" s="9">
        <f t="shared" si="1"/>
        <v>50.89</v>
      </c>
    </row>
    <row r="40">
      <c r="C40" s="16" t="s">
        <v>12</v>
      </c>
      <c r="D40" s="39"/>
      <c r="E40" s="40"/>
      <c r="H40" s="7" t="s">
        <v>9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30"/>
    </row>
    <row r="41">
      <c r="H41" s="10" t="s">
        <v>10</v>
      </c>
      <c r="I41" s="13">
        <v>73.85</v>
      </c>
      <c r="J41" s="13">
        <v>71.11</v>
      </c>
      <c r="K41" s="11">
        <v>82.01</v>
      </c>
      <c r="L41" s="11">
        <v>58.67</v>
      </c>
      <c r="M41" s="11">
        <v>54.55</v>
      </c>
      <c r="N41" s="11">
        <v>67.19</v>
      </c>
      <c r="O41" s="13">
        <v>65.22</v>
      </c>
      <c r="P41" s="11">
        <v>71.43</v>
      </c>
      <c r="Q41" s="11">
        <v>29.23</v>
      </c>
      <c r="R41" s="13">
        <v>56.45</v>
      </c>
      <c r="S41" s="13">
        <v>84.51</v>
      </c>
      <c r="T41" s="21">
        <v>58.46</v>
      </c>
      <c r="U41" s="41">
        <f t="shared" ref="U41:U46" si="2">ROUND(AVERAGE(I41:T41),2)</f>
        <v>64.39</v>
      </c>
    </row>
    <row r="42">
      <c r="H42" s="10" t="s">
        <v>11</v>
      </c>
      <c r="I42" s="11">
        <v>69.23</v>
      </c>
      <c r="J42" s="11">
        <v>51.85</v>
      </c>
      <c r="K42" s="11">
        <v>66.91</v>
      </c>
      <c r="L42" s="11">
        <v>68.0</v>
      </c>
      <c r="M42" s="13">
        <v>63.64</v>
      </c>
      <c r="N42" s="11">
        <v>42.19</v>
      </c>
      <c r="O42" s="11">
        <v>47.83</v>
      </c>
      <c r="P42" s="11">
        <v>64.29</v>
      </c>
      <c r="Q42" s="13">
        <v>38.46</v>
      </c>
      <c r="R42" s="11">
        <v>50.0</v>
      </c>
      <c r="S42" s="11">
        <v>74.65</v>
      </c>
      <c r="T42" s="21">
        <v>53.85</v>
      </c>
      <c r="U42" s="30">
        <f t="shared" si="2"/>
        <v>57.58</v>
      </c>
    </row>
    <row r="43">
      <c r="H43" s="10" t="s">
        <v>12</v>
      </c>
      <c r="I43" s="11">
        <v>68.46</v>
      </c>
      <c r="J43" s="11">
        <v>11.85</v>
      </c>
      <c r="K43" s="11">
        <v>20.14</v>
      </c>
      <c r="L43" s="11">
        <v>44.0</v>
      </c>
      <c r="M43" s="11">
        <v>58.18</v>
      </c>
      <c r="N43" s="11">
        <v>40.62</v>
      </c>
      <c r="O43" s="11">
        <v>57.97</v>
      </c>
      <c r="P43" s="11">
        <v>57.14</v>
      </c>
      <c r="Q43" s="11">
        <v>26.15</v>
      </c>
      <c r="R43" s="11">
        <v>45.16</v>
      </c>
      <c r="S43" s="11">
        <v>59.15</v>
      </c>
      <c r="T43" s="21">
        <v>58.46</v>
      </c>
      <c r="U43" s="30">
        <f t="shared" si="2"/>
        <v>45.61</v>
      </c>
    </row>
    <row r="44">
      <c r="H44" s="31" t="s">
        <v>32</v>
      </c>
      <c r="I44" s="32">
        <v>73.08</v>
      </c>
      <c r="J44" s="32">
        <v>67.41</v>
      </c>
      <c r="K44" s="32">
        <v>78.42</v>
      </c>
      <c r="L44" s="36">
        <v>72.0</v>
      </c>
      <c r="M44" s="32">
        <v>56.36</v>
      </c>
      <c r="N44" s="32">
        <v>62.5</v>
      </c>
      <c r="O44" s="32">
        <v>60.87</v>
      </c>
      <c r="P44" s="36">
        <v>77.14</v>
      </c>
      <c r="Q44" s="32">
        <v>35.38</v>
      </c>
      <c r="R44" s="32">
        <v>45.16</v>
      </c>
      <c r="S44" s="32">
        <v>78.87</v>
      </c>
      <c r="T44" s="33">
        <v>66.15</v>
      </c>
      <c r="U44" s="42">
        <f t="shared" si="2"/>
        <v>64.45</v>
      </c>
    </row>
    <row r="45">
      <c r="H45" s="31" t="s">
        <v>33</v>
      </c>
      <c r="I45" s="32">
        <v>52.31</v>
      </c>
      <c r="J45" s="32">
        <v>24.44</v>
      </c>
      <c r="K45" s="32">
        <v>44.6</v>
      </c>
      <c r="L45" s="32">
        <v>46.67</v>
      </c>
      <c r="M45" s="32">
        <v>40.0</v>
      </c>
      <c r="N45" s="32">
        <v>32.81</v>
      </c>
      <c r="O45" s="32">
        <v>34.78</v>
      </c>
      <c r="P45" s="32">
        <v>0.5</v>
      </c>
      <c r="Q45" s="32">
        <v>21.54</v>
      </c>
      <c r="R45" s="32">
        <v>25.81</v>
      </c>
      <c r="S45" s="32">
        <v>40.85</v>
      </c>
      <c r="T45" s="33">
        <v>47.69</v>
      </c>
      <c r="U45" s="30">
        <f t="shared" si="2"/>
        <v>34.33</v>
      </c>
    </row>
    <row r="46">
      <c r="H46" s="43" t="s">
        <v>34</v>
      </c>
      <c r="I46" s="44">
        <v>70.0</v>
      </c>
      <c r="J46" s="44">
        <v>59.26</v>
      </c>
      <c r="K46" s="44">
        <v>79.86</v>
      </c>
      <c r="L46" s="44">
        <v>69.33</v>
      </c>
      <c r="M46" s="44">
        <v>54.55</v>
      </c>
      <c r="N46" s="44">
        <v>57.81</v>
      </c>
      <c r="O46" s="44">
        <v>53.62</v>
      </c>
      <c r="P46" s="44">
        <v>68.57</v>
      </c>
      <c r="Q46" s="44">
        <v>30.77</v>
      </c>
      <c r="R46" s="44">
        <v>50.0</v>
      </c>
      <c r="S46" s="44">
        <v>80.28</v>
      </c>
      <c r="T46" s="45">
        <v>73.85</v>
      </c>
      <c r="U46" s="30">
        <f t="shared" si="2"/>
        <v>62.33</v>
      </c>
    </row>
    <row r="50">
      <c r="H50" s="2" t="s">
        <v>3</v>
      </c>
      <c r="I50" s="3"/>
      <c r="J50" s="3"/>
      <c r="K50" s="3"/>
      <c r="L50" s="3"/>
      <c r="M50" s="4"/>
      <c r="O50" s="46"/>
      <c r="P50" s="46"/>
      <c r="Q50" s="46"/>
      <c r="R50" s="46"/>
      <c r="S50" s="46"/>
      <c r="T50" s="46"/>
      <c r="U50" s="47"/>
    </row>
    <row r="51">
      <c r="H51" s="1" t="s">
        <v>0</v>
      </c>
      <c r="I51" s="2" t="s">
        <v>15</v>
      </c>
      <c r="J51" s="3"/>
      <c r="K51" s="3"/>
      <c r="L51" s="4"/>
      <c r="M51" s="1" t="s">
        <v>16</v>
      </c>
      <c r="N51" s="46"/>
      <c r="O51" s="46"/>
      <c r="P51" s="46"/>
      <c r="Q51" s="46"/>
      <c r="R51" s="46"/>
      <c r="S51" s="46"/>
      <c r="T51" s="46"/>
      <c r="U51" s="47"/>
    </row>
    <row r="52">
      <c r="H52" s="5"/>
      <c r="I52" s="28" t="s">
        <v>35</v>
      </c>
      <c r="J52" s="28" t="s">
        <v>36</v>
      </c>
      <c r="K52" s="28" t="s">
        <v>37</v>
      </c>
      <c r="L52" s="28" t="s">
        <v>38</v>
      </c>
      <c r="M52" s="29"/>
      <c r="N52" s="48"/>
      <c r="O52" s="48"/>
      <c r="P52" s="48"/>
      <c r="Q52" s="48"/>
      <c r="R52" s="48"/>
      <c r="S52" s="48"/>
      <c r="T52" s="48"/>
      <c r="U52" s="47"/>
    </row>
    <row r="53">
      <c r="H53" s="7" t="s">
        <v>5</v>
      </c>
      <c r="I53" s="8"/>
      <c r="J53" s="8"/>
      <c r="K53" s="8"/>
      <c r="L53" s="9"/>
      <c r="M53" s="5"/>
      <c r="N53" s="49"/>
      <c r="O53" s="49"/>
      <c r="P53" s="49"/>
      <c r="Q53" s="49"/>
      <c r="R53" s="49"/>
      <c r="S53" s="49"/>
      <c r="T53" s="49"/>
      <c r="U53" s="47"/>
    </row>
    <row r="54">
      <c r="H54" s="10" t="s">
        <v>6</v>
      </c>
      <c r="I54" s="11">
        <v>60.15</v>
      </c>
      <c r="J54" s="11">
        <v>14.46</v>
      </c>
      <c r="K54" s="11">
        <v>24.67</v>
      </c>
      <c r="L54" s="21">
        <v>5.67</v>
      </c>
      <c r="M54" s="30">
        <f>ROUND(AVERAGE(A54:K54),2)</f>
        <v>33.09</v>
      </c>
      <c r="N54" s="11"/>
      <c r="O54" s="11"/>
      <c r="P54" s="11"/>
      <c r="Q54" s="11"/>
      <c r="R54" s="11"/>
      <c r="S54" s="11"/>
      <c r="T54" s="11"/>
      <c r="U54" s="47"/>
    </row>
    <row r="55">
      <c r="H55" s="10" t="s">
        <v>7</v>
      </c>
      <c r="I55" s="13">
        <v>65.23</v>
      </c>
      <c r="J55" s="13">
        <v>94.0</v>
      </c>
      <c r="K55" s="13">
        <v>85.17</v>
      </c>
      <c r="L55" s="23">
        <v>95.67</v>
      </c>
      <c r="M55" s="30">
        <f t="shared" ref="M55:M59" si="3">ROUND(AVERAGE(A55:L55),2)</f>
        <v>85.02</v>
      </c>
      <c r="N55" s="11"/>
      <c r="O55" s="11"/>
      <c r="P55" s="11"/>
      <c r="Q55" s="11"/>
      <c r="R55" s="11"/>
      <c r="S55" s="11"/>
      <c r="T55" s="11"/>
      <c r="U55" s="47"/>
    </row>
    <row r="56">
      <c r="H56" s="10" t="s">
        <v>8</v>
      </c>
      <c r="I56" s="11">
        <v>40.1</v>
      </c>
      <c r="J56" s="11">
        <v>7.69</v>
      </c>
      <c r="K56" s="50">
        <v>47.17</v>
      </c>
      <c r="L56" s="51">
        <v>80.0</v>
      </c>
      <c r="M56" s="30">
        <f t="shared" si="3"/>
        <v>43.74</v>
      </c>
      <c r="N56" s="11"/>
      <c r="O56" s="11"/>
      <c r="P56" s="11"/>
      <c r="Q56" s="11"/>
      <c r="R56" s="11"/>
      <c r="S56" s="11"/>
      <c r="T56" s="11"/>
      <c r="U56" s="47"/>
    </row>
    <row r="57">
      <c r="H57" s="31" t="s">
        <v>29</v>
      </c>
      <c r="I57" s="32">
        <v>53.81</v>
      </c>
      <c r="J57" s="32">
        <v>67.23</v>
      </c>
      <c r="K57" s="32">
        <v>57.33</v>
      </c>
      <c r="L57" s="33">
        <v>71.33</v>
      </c>
      <c r="M57" s="30">
        <f t="shared" si="3"/>
        <v>62.43</v>
      </c>
      <c r="N57" s="11"/>
      <c r="O57" s="11"/>
      <c r="P57" s="11"/>
      <c r="Q57" s="11"/>
      <c r="R57" s="11"/>
      <c r="S57" s="11"/>
      <c r="T57" s="11"/>
      <c r="U57" s="47"/>
    </row>
    <row r="58">
      <c r="H58" s="31" t="s">
        <v>30</v>
      </c>
      <c r="I58" s="32">
        <v>64.72</v>
      </c>
      <c r="J58" s="32">
        <v>87.85</v>
      </c>
      <c r="K58" s="32">
        <v>83.67</v>
      </c>
      <c r="L58" s="33">
        <v>93.83</v>
      </c>
      <c r="M58" s="30">
        <f t="shared" si="3"/>
        <v>82.52</v>
      </c>
      <c r="N58" s="11"/>
      <c r="O58" s="11"/>
      <c r="P58" s="11"/>
      <c r="Q58" s="11"/>
      <c r="R58" s="11"/>
      <c r="S58" s="11"/>
      <c r="T58" s="11"/>
      <c r="U58" s="47"/>
    </row>
    <row r="59">
      <c r="H59" s="43" t="s">
        <v>31</v>
      </c>
      <c r="I59" s="44">
        <v>57.87</v>
      </c>
      <c r="J59" s="44">
        <v>78.0</v>
      </c>
      <c r="K59" s="44">
        <v>63.67</v>
      </c>
      <c r="L59" s="52">
        <v>79.83</v>
      </c>
      <c r="M59" s="30">
        <f t="shared" si="3"/>
        <v>69.84</v>
      </c>
      <c r="N59" s="13"/>
      <c r="O59" s="11"/>
      <c r="P59" s="11"/>
      <c r="Q59" s="11"/>
      <c r="R59" s="11"/>
      <c r="S59" s="11"/>
      <c r="T59" s="11"/>
      <c r="U59" s="47"/>
    </row>
    <row r="60">
      <c r="H60" s="53" t="s">
        <v>9</v>
      </c>
      <c r="I60" s="49"/>
      <c r="J60" s="49"/>
      <c r="L60" s="12"/>
      <c r="M60" s="30"/>
      <c r="N60" s="49"/>
      <c r="O60" s="49"/>
      <c r="P60" s="49"/>
      <c r="Q60" s="49"/>
      <c r="R60" s="49"/>
      <c r="S60" s="49"/>
      <c r="T60" s="49"/>
      <c r="U60" s="47"/>
    </row>
    <row r="61">
      <c r="H61" s="10" t="s">
        <v>10</v>
      </c>
      <c r="I61" s="34"/>
      <c r="J61" s="34"/>
      <c r="K61" s="37"/>
      <c r="L61" s="38"/>
      <c r="M61" s="30" t="str">
        <f t="shared" ref="M61:M66" si="4">ROUND(AVERAGE(A61:L61),2)</f>
        <v>#DIV/0!</v>
      </c>
      <c r="N61" s="11"/>
      <c r="O61" s="13"/>
      <c r="P61" s="11"/>
      <c r="Q61" s="11"/>
      <c r="R61" s="13"/>
      <c r="S61" s="13"/>
      <c r="T61" s="11"/>
      <c r="U61" s="47"/>
    </row>
    <row r="62">
      <c r="H62" s="10" t="s">
        <v>11</v>
      </c>
      <c r="I62" s="37"/>
      <c r="J62" s="37"/>
      <c r="K62" s="37"/>
      <c r="L62" s="38"/>
      <c r="M62" s="30" t="str">
        <f t="shared" si="4"/>
        <v>#DIV/0!</v>
      </c>
      <c r="N62" s="11"/>
      <c r="O62" s="11"/>
      <c r="P62" s="11"/>
      <c r="Q62" s="13"/>
      <c r="R62" s="11"/>
      <c r="S62" s="11"/>
      <c r="T62" s="11"/>
      <c r="U62" s="47"/>
    </row>
    <row r="63">
      <c r="H63" s="10" t="s">
        <v>12</v>
      </c>
      <c r="I63" s="37"/>
      <c r="J63" s="37"/>
      <c r="K63" s="37"/>
      <c r="L63" s="38"/>
      <c r="M63" s="30" t="str">
        <f t="shared" si="4"/>
        <v>#DIV/0!</v>
      </c>
      <c r="N63" s="11"/>
      <c r="O63" s="11"/>
      <c r="P63" s="11"/>
      <c r="Q63" s="11"/>
      <c r="R63" s="11"/>
      <c r="S63" s="11"/>
      <c r="T63" s="11"/>
      <c r="U63" s="47"/>
    </row>
    <row r="64">
      <c r="H64" s="10" t="s">
        <v>32</v>
      </c>
      <c r="I64" s="37"/>
      <c r="J64" s="37"/>
      <c r="K64" s="37"/>
      <c r="L64" s="35"/>
      <c r="M64" s="42" t="str">
        <f t="shared" si="4"/>
        <v>#DIV/0!</v>
      </c>
      <c r="N64" s="11"/>
      <c r="O64" s="11"/>
      <c r="P64" s="13"/>
      <c r="Q64" s="11"/>
      <c r="R64" s="11"/>
      <c r="S64" s="11"/>
      <c r="T64" s="11"/>
    </row>
    <row r="65">
      <c r="H65" s="10" t="s">
        <v>33</v>
      </c>
      <c r="I65" s="37"/>
      <c r="J65" s="37"/>
      <c r="K65" s="37"/>
      <c r="L65" s="38"/>
      <c r="M65" s="30" t="str">
        <f t="shared" si="4"/>
        <v>#DIV/0!</v>
      </c>
      <c r="N65" s="11"/>
      <c r="O65" s="11"/>
      <c r="P65" s="11"/>
      <c r="Q65" s="11"/>
      <c r="R65" s="11"/>
      <c r="S65" s="11"/>
      <c r="T65" s="11"/>
      <c r="U65" s="47"/>
    </row>
    <row r="66">
      <c r="H66" s="16" t="s">
        <v>34</v>
      </c>
      <c r="I66" s="39"/>
      <c r="J66" s="39"/>
      <c r="K66" s="39"/>
      <c r="L66" s="54"/>
      <c r="M66" s="30" t="str">
        <f t="shared" si="4"/>
        <v>#DIV/0!</v>
      </c>
      <c r="N66" s="11"/>
      <c r="O66" s="11"/>
      <c r="P66" s="11"/>
      <c r="Q66" s="11"/>
      <c r="R66" s="11"/>
      <c r="S66" s="11"/>
      <c r="T66" s="13"/>
      <c r="U66" s="47"/>
    </row>
    <row r="67">
      <c r="U67" s="47"/>
    </row>
  </sheetData>
  <mergeCells count="12">
    <mergeCell ref="H31:H32"/>
    <mergeCell ref="H50:M50"/>
    <mergeCell ref="H51:H52"/>
    <mergeCell ref="I51:L51"/>
    <mergeCell ref="M51:M53"/>
    <mergeCell ref="C5:C6"/>
    <mergeCell ref="D5:F5"/>
    <mergeCell ref="C18:E18"/>
    <mergeCell ref="H30:U30"/>
    <mergeCell ref="C31:E31"/>
    <mergeCell ref="I31:T31"/>
    <mergeCell ref="U31:U33"/>
  </mergeCells>
  <conditionalFormatting sqref="U34:U46 M54:M66">
    <cfRule type="notContainsBlanks" dxfId="0" priority="1">
      <formula>LEN(TRIM(U34))&gt;0</formula>
    </cfRule>
  </conditionalFormatting>
  <conditionalFormatting sqref="U34:U46 M54:M66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0"/>
    <col customWidth="1" min="4" max="6" width="18.38"/>
    <col customWidth="1" min="8" max="8" width="30.13"/>
    <col customWidth="1" min="9" max="9" width="15.0"/>
    <col customWidth="1" min="10" max="20" width="16.38"/>
  </cols>
  <sheetData>
    <row r="3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</row>
    <row r="4"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</row>
    <row r="5"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</row>
    <row r="6"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</row>
    <row r="7"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</row>
    <row r="8"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</row>
    <row r="9"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</row>
    <row r="10"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</row>
    <row r="11"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</row>
    <row r="12"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</row>
    <row r="13"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</row>
    <row r="14"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</row>
    <row r="15"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</row>
    <row r="16"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</row>
    <row r="17"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</row>
    <row r="18"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</row>
    <row r="19"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</row>
    <row r="20"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</row>
    <row r="21"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</row>
    <row r="22"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</row>
    <row r="23"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</row>
    <row r="24"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</row>
    <row r="25"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</row>
    <row r="26"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</row>
    <row r="27"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</row>
    <row r="28"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</row>
    <row r="29"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</row>
    <row r="30"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</row>
    <row r="31"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</row>
    <row r="32" ht="28.5" customHeight="1"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</row>
    <row r="33"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</row>
    <row r="34"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</row>
    <row r="35"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</row>
    <row r="36"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</row>
    <row r="37"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</row>
    <row r="38"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</row>
    <row r="39"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</row>
    <row r="40"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</row>
    <row r="41"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</row>
    <row r="42"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</row>
    <row r="43"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</row>
    <row r="44"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</row>
    <row r="45"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</row>
    <row r="46"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</row>
    <row r="47"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</row>
    <row r="48"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</row>
    <row r="49"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</row>
    <row r="50">
      <c r="G50" s="55"/>
      <c r="H50" s="55"/>
      <c r="I50" s="55"/>
      <c r="J50" s="55"/>
      <c r="K50" s="55"/>
      <c r="L50" s="55"/>
      <c r="M50" s="55"/>
      <c r="N50" s="55"/>
      <c r="O50" s="46"/>
      <c r="P50" s="46"/>
      <c r="Q50" s="46"/>
      <c r="R50" s="46"/>
      <c r="S50" s="46"/>
      <c r="T50" s="46"/>
      <c r="U50" s="47"/>
    </row>
    <row r="51">
      <c r="G51" s="55"/>
      <c r="H51" s="55"/>
      <c r="I51" s="55"/>
      <c r="J51" s="55"/>
      <c r="K51" s="55"/>
      <c r="L51" s="55"/>
      <c r="M51" s="55"/>
      <c r="N51" s="55"/>
      <c r="O51" s="46"/>
      <c r="P51" s="46"/>
      <c r="Q51" s="46"/>
      <c r="R51" s="46"/>
      <c r="S51" s="46"/>
      <c r="T51" s="46"/>
      <c r="U51" s="47"/>
    </row>
    <row r="52">
      <c r="G52" s="55"/>
      <c r="H52" s="55"/>
      <c r="I52" s="55"/>
      <c r="J52" s="55"/>
      <c r="K52" s="55"/>
      <c r="L52" s="55"/>
      <c r="M52" s="55"/>
      <c r="N52" s="55"/>
      <c r="O52" s="48"/>
      <c r="P52" s="48"/>
      <c r="Q52" s="48"/>
      <c r="R52" s="48"/>
      <c r="S52" s="48"/>
      <c r="T52" s="48"/>
      <c r="U52" s="47"/>
    </row>
    <row r="53">
      <c r="G53" s="55"/>
      <c r="H53" s="55"/>
      <c r="I53" s="55"/>
      <c r="J53" s="55"/>
      <c r="K53" s="55"/>
      <c r="L53" s="55"/>
      <c r="M53" s="55"/>
      <c r="N53" s="55"/>
      <c r="O53" s="49"/>
      <c r="P53" s="49"/>
      <c r="Q53" s="49"/>
      <c r="R53" s="49"/>
      <c r="S53" s="49"/>
      <c r="T53" s="49"/>
      <c r="U53" s="47"/>
    </row>
    <row r="54">
      <c r="G54" s="55"/>
      <c r="H54" s="55"/>
      <c r="I54" s="55"/>
      <c r="J54" s="55"/>
      <c r="K54" s="55"/>
      <c r="L54" s="55"/>
      <c r="M54" s="55"/>
      <c r="N54" s="55"/>
      <c r="O54" s="11"/>
      <c r="P54" s="11"/>
      <c r="Q54" s="11"/>
      <c r="R54" s="11"/>
      <c r="S54" s="11"/>
      <c r="T54" s="11"/>
      <c r="U54" s="47"/>
    </row>
    <row r="55">
      <c r="G55" s="55"/>
      <c r="H55" s="55"/>
      <c r="I55" s="55"/>
      <c r="J55" s="55"/>
      <c r="K55" s="55"/>
      <c r="L55" s="55"/>
      <c r="M55" s="55"/>
      <c r="N55" s="55"/>
      <c r="O55" s="11"/>
      <c r="P55" s="11"/>
      <c r="Q55" s="11"/>
      <c r="R55" s="11"/>
      <c r="S55" s="11"/>
      <c r="T55" s="11"/>
      <c r="U55" s="47"/>
    </row>
    <row r="56">
      <c r="G56" s="55"/>
      <c r="H56" s="55"/>
      <c r="I56" s="55"/>
      <c r="J56" s="55"/>
      <c r="K56" s="55"/>
      <c r="L56" s="55"/>
      <c r="M56" s="55"/>
      <c r="N56" s="55"/>
      <c r="O56" s="11"/>
      <c r="P56" s="11"/>
      <c r="Q56" s="11"/>
      <c r="R56" s="11"/>
      <c r="S56" s="11"/>
      <c r="T56" s="11"/>
      <c r="U56" s="47"/>
    </row>
    <row r="57">
      <c r="G57" s="55"/>
      <c r="H57" s="55"/>
      <c r="I57" s="55"/>
      <c r="J57" s="55"/>
      <c r="K57" s="55"/>
      <c r="L57" s="55"/>
      <c r="M57" s="55"/>
      <c r="N57" s="55"/>
      <c r="O57" s="11"/>
      <c r="P57" s="11"/>
      <c r="Q57" s="11"/>
      <c r="R57" s="11"/>
      <c r="S57" s="11"/>
      <c r="T57" s="11"/>
      <c r="U57" s="47"/>
    </row>
    <row r="58">
      <c r="G58" s="55"/>
      <c r="H58" s="55"/>
      <c r="I58" s="55"/>
      <c r="J58" s="55"/>
      <c r="K58" s="55"/>
      <c r="L58" s="55"/>
      <c r="M58" s="55"/>
      <c r="N58" s="55"/>
      <c r="O58" s="11"/>
      <c r="P58" s="11"/>
      <c r="Q58" s="11"/>
      <c r="R58" s="11"/>
      <c r="S58" s="11"/>
      <c r="T58" s="11"/>
      <c r="U58" s="47"/>
    </row>
    <row r="59">
      <c r="G59" s="55"/>
      <c r="H59" s="55"/>
      <c r="I59" s="55"/>
      <c r="J59" s="55"/>
      <c r="K59" s="55"/>
      <c r="L59" s="55"/>
      <c r="M59" s="55"/>
      <c r="N59" s="55"/>
      <c r="O59" s="11"/>
      <c r="P59" s="11"/>
      <c r="Q59" s="11"/>
      <c r="R59" s="11"/>
      <c r="S59" s="11"/>
      <c r="T59" s="11"/>
      <c r="U59" s="47"/>
    </row>
    <row r="60">
      <c r="G60" s="55"/>
      <c r="H60" s="55"/>
      <c r="I60" s="55"/>
      <c r="J60" s="55"/>
      <c r="K60" s="55"/>
      <c r="L60" s="55"/>
      <c r="M60" s="55"/>
      <c r="N60" s="55"/>
      <c r="O60" s="49"/>
      <c r="P60" s="49"/>
      <c r="Q60" s="49"/>
      <c r="R60" s="49"/>
      <c r="S60" s="49"/>
      <c r="T60" s="49"/>
      <c r="U60" s="47"/>
    </row>
    <row r="61">
      <c r="G61" s="55"/>
      <c r="H61" s="55"/>
      <c r="I61" s="55"/>
      <c r="J61" s="55"/>
      <c r="K61" s="55"/>
      <c r="L61" s="55"/>
      <c r="M61" s="55"/>
      <c r="N61" s="55"/>
      <c r="O61" s="13"/>
      <c r="P61" s="11"/>
      <c r="Q61" s="11"/>
      <c r="R61" s="13"/>
      <c r="S61" s="13"/>
      <c r="T61" s="11"/>
      <c r="U61" s="47"/>
    </row>
    <row r="62">
      <c r="G62" s="55"/>
      <c r="H62" s="55"/>
      <c r="I62" s="55"/>
      <c r="J62" s="55"/>
      <c r="K62" s="55"/>
      <c r="L62" s="55"/>
      <c r="M62" s="55"/>
      <c r="N62" s="55"/>
      <c r="O62" s="11"/>
      <c r="P62" s="11"/>
      <c r="Q62" s="13"/>
      <c r="R62" s="11"/>
      <c r="S62" s="11"/>
      <c r="T62" s="11"/>
      <c r="U62" s="47"/>
    </row>
    <row r="63">
      <c r="G63" s="55"/>
      <c r="H63" s="55"/>
      <c r="I63" s="55"/>
      <c r="J63" s="55"/>
      <c r="K63" s="55"/>
      <c r="L63" s="55"/>
      <c r="M63" s="55"/>
      <c r="N63" s="55"/>
      <c r="O63" s="11"/>
      <c r="P63" s="11"/>
      <c r="Q63" s="11"/>
      <c r="R63" s="11"/>
      <c r="S63" s="11"/>
      <c r="T63" s="11"/>
      <c r="U63" s="47"/>
    </row>
    <row r="64">
      <c r="G64" s="55"/>
      <c r="H64" s="55"/>
      <c r="I64" s="55"/>
      <c r="J64" s="55"/>
      <c r="K64" s="55"/>
      <c r="L64" s="55"/>
      <c r="M64" s="55"/>
      <c r="N64" s="55"/>
      <c r="O64" s="11"/>
      <c r="P64" s="13"/>
      <c r="Q64" s="11"/>
      <c r="R64" s="11"/>
      <c r="S64" s="11"/>
      <c r="T64" s="11"/>
    </row>
    <row r="65">
      <c r="G65" s="55"/>
      <c r="H65" s="55"/>
      <c r="I65" s="55"/>
      <c r="J65" s="55"/>
      <c r="K65" s="55"/>
      <c r="L65" s="55"/>
      <c r="M65" s="55"/>
      <c r="N65" s="55"/>
      <c r="O65" s="11"/>
      <c r="P65" s="11"/>
      <c r="Q65" s="11"/>
      <c r="R65" s="11"/>
      <c r="S65" s="11"/>
      <c r="T65" s="11"/>
      <c r="U65" s="47"/>
    </row>
    <row r="66">
      <c r="G66" s="55"/>
      <c r="H66" s="55"/>
      <c r="I66" s="55"/>
      <c r="J66" s="55"/>
      <c r="K66" s="55"/>
      <c r="L66" s="55"/>
      <c r="M66" s="55"/>
      <c r="N66" s="55"/>
      <c r="O66" s="11"/>
      <c r="P66" s="11"/>
      <c r="Q66" s="11"/>
      <c r="R66" s="11"/>
      <c r="S66" s="11"/>
      <c r="T66" s="13"/>
      <c r="U66" s="47"/>
    </row>
    <row r="67">
      <c r="G67" s="55"/>
      <c r="H67" s="55"/>
      <c r="I67" s="55"/>
      <c r="J67" s="55"/>
      <c r="K67" s="55"/>
      <c r="L67" s="55"/>
      <c r="M67" s="55"/>
      <c r="N67" s="55"/>
      <c r="U67" s="47"/>
    </row>
    <row r="68">
      <c r="G68" s="55"/>
      <c r="H68" s="55"/>
      <c r="I68" s="55"/>
      <c r="J68" s="55"/>
      <c r="K68" s="55"/>
      <c r="L68" s="55"/>
      <c r="M68" s="55"/>
      <c r="N68" s="55"/>
    </row>
    <row r="69">
      <c r="G69" s="55"/>
      <c r="H69" s="55"/>
      <c r="I69" s="55"/>
      <c r="J69" s="55"/>
      <c r="K69" s="55"/>
      <c r="L69" s="55"/>
      <c r="M69" s="55"/>
      <c r="N69" s="5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8" width="16.75"/>
  </cols>
  <sheetData>
    <row r="7">
      <c r="D7" s="2" t="s">
        <v>2</v>
      </c>
      <c r="E7" s="3"/>
      <c r="F7" s="3"/>
      <c r="G7" s="3"/>
      <c r="H7" s="4"/>
    </row>
    <row r="8">
      <c r="C8" s="56" t="s">
        <v>0</v>
      </c>
      <c r="D8" s="57" t="s">
        <v>39</v>
      </c>
      <c r="E8" s="57" t="s">
        <v>40</v>
      </c>
      <c r="F8" s="57" t="s">
        <v>41</v>
      </c>
      <c r="G8" s="57" t="s">
        <v>42</v>
      </c>
      <c r="H8" s="57" t="s">
        <v>43</v>
      </c>
    </row>
    <row r="9">
      <c r="C9" s="58" t="s">
        <v>44</v>
      </c>
      <c r="D9" s="59">
        <v>1.0</v>
      </c>
      <c r="E9" s="60">
        <v>1.0</v>
      </c>
      <c r="F9" s="60">
        <v>0.94</v>
      </c>
      <c r="G9" s="60">
        <v>0.7</v>
      </c>
      <c r="H9" s="61">
        <v>1.0</v>
      </c>
    </row>
    <row r="10">
      <c r="C10" s="58" t="s">
        <v>45</v>
      </c>
      <c r="D10" s="16">
        <v>1.0</v>
      </c>
      <c r="E10" s="17">
        <v>1.0</v>
      </c>
      <c r="F10" s="62">
        <v>1.0</v>
      </c>
      <c r="G10" s="62">
        <v>0.92</v>
      </c>
      <c r="H10" s="63">
        <v>1.0</v>
      </c>
    </row>
    <row r="13">
      <c r="D13" s="2" t="s">
        <v>3</v>
      </c>
      <c r="E13" s="3"/>
      <c r="F13" s="3"/>
      <c r="G13" s="3"/>
      <c r="H13" s="4"/>
    </row>
    <row r="14">
      <c r="C14" s="56" t="s">
        <v>0</v>
      </c>
      <c r="D14" s="57" t="s">
        <v>39</v>
      </c>
      <c r="E14" s="57" t="s">
        <v>40</v>
      </c>
      <c r="F14" s="57" t="s">
        <v>41</v>
      </c>
      <c r="G14" s="57" t="s">
        <v>42</v>
      </c>
      <c r="H14" s="57" t="s">
        <v>43</v>
      </c>
    </row>
    <row r="15">
      <c r="C15" s="58" t="s">
        <v>44</v>
      </c>
      <c r="D15" s="59">
        <v>1.0</v>
      </c>
      <c r="E15" s="60">
        <v>1.0</v>
      </c>
      <c r="F15" s="64">
        <v>1.0</v>
      </c>
      <c r="G15" s="60">
        <v>1.0</v>
      </c>
      <c r="H15" s="61">
        <v>1.0</v>
      </c>
    </row>
    <row r="16">
      <c r="C16" s="58" t="s">
        <v>45</v>
      </c>
      <c r="D16" s="10">
        <v>1.0</v>
      </c>
      <c r="E16" s="11">
        <v>1.0</v>
      </c>
      <c r="F16" s="22">
        <v>0.99</v>
      </c>
      <c r="G16" s="22">
        <v>1.0</v>
      </c>
      <c r="H16" s="21">
        <v>1.0</v>
      </c>
    </row>
    <row r="17">
      <c r="C17" s="58" t="s">
        <v>46</v>
      </c>
      <c r="D17" s="16">
        <v>1.0</v>
      </c>
      <c r="E17" s="17">
        <v>0.56</v>
      </c>
      <c r="F17" s="17">
        <v>0.74</v>
      </c>
      <c r="G17" s="17">
        <v>0.8</v>
      </c>
      <c r="H17" s="63">
        <v>0.54</v>
      </c>
    </row>
  </sheetData>
  <mergeCells count="2">
    <mergeCell ref="D7:H7"/>
    <mergeCell ref="D13:H13"/>
  </mergeCells>
  <drawing r:id="rId1"/>
</worksheet>
</file>